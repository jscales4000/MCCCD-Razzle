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ale\CascadeProjects\Archon-Tests\MCCCD Razzle\"/>
    </mc:Choice>
  </mc:AlternateContent>
  <xr:revisionPtr revIDLastSave="0" documentId="8_{828A3291-FCED-4E4E-B07B-FCC3924EC995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Full Equipment List" sheetId="1" r:id="rId1"/>
    <sheet name="Crestron Only" sheetId="2" r:id="rId2"/>
    <sheet name="Note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0" i="2" l="1"/>
  <c r="D46" i="1"/>
</calcChain>
</file>

<file path=xl/sharedStrings.xml><?xml version="1.0" encoding="utf-8"?>
<sst xmlns="http://schemas.openxmlformats.org/spreadsheetml/2006/main" count="383" uniqueCount="128">
  <si>
    <t>MCCCD Conferencing POC (AA140 + 2 Satellite Rooms)</t>
  </si>
  <si>
    <t>Integrator: American Sound &amp; Electronics  |  Proposal 10297 / PO DSTOF-100135103  |  Ship-To: 8550 S. Priest Drive, Tempe AZ</t>
  </si>
  <si>
    <t>Manufacturer</t>
  </si>
  <si>
    <t>Model / Part #</t>
  </si>
  <si>
    <t>Description</t>
  </si>
  <si>
    <t>Qty</t>
  </si>
  <si>
    <t>Room / Use</t>
  </si>
  <si>
    <t>Category</t>
  </si>
  <si>
    <t>OFE</t>
  </si>
  <si>
    <t>OFE - Projectors &amp; Mounts</t>
  </si>
  <si>
    <t>Owner-furnished projectors and mounts</t>
  </si>
  <si>
    <t>AA140 Main Conference Room</t>
  </si>
  <si>
    <t>Video/Display</t>
  </si>
  <si>
    <t>OFE - Newline Display</t>
  </si>
  <si>
    <t>Owner-furnished Newline interactive display and mount</t>
  </si>
  <si>
    <t>OFE - Amplifier &amp; Speakers</t>
  </si>
  <si>
    <t>Owner-furnished amplifier and speakers</t>
  </si>
  <si>
    <t>Audio</t>
  </si>
  <si>
    <t>OFE - Wireless Mic System</t>
  </si>
  <si>
    <t>Owner-furnished wireless microphone system</t>
  </si>
  <si>
    <t>OFE - Display &amp; Mount</t>
  </si>
  <si>
    <t>Owner-furnished displays and mounts (1 per room)</t>
  </si>
  <si>
    <t>Satellite Rooms (Typ. of 2)</t>
  </si>
  <si>
    <t>Crestron</t>
  </si>
  <si>
    <t>DM-NVX-E30</t>
  </si>
  <si>
    <t>DM NVX 4K60 4:4:4 HDR Network AV Encoder</t>
  </si>
  <si>
    <t>Video Distribution</t>
  </si>
  <si>
    <t>DM-NVX-D30</t>
  </si>
  <si>
    <t>DM NVX 4K60 4:4:4 HDR Network AV Decoder</t>
  </si>
  <si>
    <t>AM-3200-WF</t>
  </si>
  <si>
    <t>AirMedia Receiver 3200 (Wi-Fi)</t>
  </si>
  <si>
    <t>Wireless Presentation</t>
  </si>
  <si>
    <t>AM-TX3-200</t>
  </si>
  <si>
    <t>AirMedia Series 3 Connect Endpoint</t>
  </si>
  <si>
    <t>AM-TX3-100</t>
  </si>
  <si>
    <t>AirMedia Series 3 Connect Adaptor</t>
  </si>
  <si>
    <t>IV-CAM-I12-B</t>
  </si>
  <si>
    <t>1 Beyond i12 Intelligent PTZ Camera (12x zoom, Moon Gray)</t>
  </si>
  <si>
    <t>Camera</t>
  </si>
  <si>
    <t>IV-CAM-I20-B</t>
  </si>
  <si>
    <t>1 Beyond i20 Intelligent PTZ Camera (20x zoom, Moon Gray)</t>
  </si>
  <si>
    <t>PSU-MIDSPAN-USB-1</t>
  </si>
  <si>
    <t>Single Channel Midspan USB Power Injector</t>
  </si>
  <si>
    <t>USB / Power</t>
  </si>
  <si>
    <t>HD-CONV-USB-300</t>
  </si>
  <si>
    <t>USB Converter (HDMI / Analog Audio In)</t>
  </si>
  <si>
    <t>USB / Conversion</t>
  </si>
  <si>
    <t>USB-SW-400</t>
  </si>
  <si>
    <t>4-Input USB 3.2 Data Matrix Switcher</t>
  </si>
  <si>
    <t>USB / Routing</t>
  </si>
  <si>
    <t>C2G</t>
  </si>
  <si>
    <t>C2G54265</t>
  </si>
  <si>
    <t>4-Port USB Over Cat6a Superbooster Extender Kit (USB 3.2 Gen 1)</t>
  </si>
  <si>
    <t>USB / Extension</t>
  </si>
  <si>
    <t>CBL-USB3G1-C-C-9</t>
  </si>
  <si>
    <t>USB-C to USB-C Cable, 9 ft (USB 3.2 Gen 1, DP Alt Mode, 60W)</t>
  </si>
  <si>
    <t>Cable</t>
  </si>
  <si>
    <t>CBL-8K-HD-9</t>
  </si>
  <si>
    <t>Certified HDMI 2.1 Cable, 9 ft (48 Gbps)</t>
  </si>
  <si>
    <t>CBL-4K-DP-HD-6</t>
  </si>
  <si>
    <t>Active Converter Cable, DisplayPort to HDMI, 6 ft (18 Gbps)</t>
  </si>
  <si>
    <t>CG54173</t>
  </si>
  <si>
    <t>1m USB 3.0 AM-BM Cable (Black)</t>
  </si>
  <si>
    <t>CG54174</t>
  </si>
  <si>
    <t>2m USB 3.0 A Male to B Male Cable (6.6 ft)</t>
  </si>
  <si>
    <t>Shure</t>
  </si>
  <si>
    <t>P300-IMX</t>
  </si>
  <si>
    <t>Audio Conferencing Processor (DSP)</t>
  </si>
  <si>
    <t>Audio DSP</t>
  </si>
  <si>
    <t>MXA920W-S</t>
  </si>
  <si>
    <t>Ceiling Array Microphone, Square, White, 24 in</t>
  </si>
  <si>
    <t>Microphone</t>
  </si>
  <si>
    <t>CG28866</t>
  </si>
  <si>
    <t>6 ft USB 3.0 C to Standard B Cable</t>
  </si>
  <si>
    <t>CG28832</t>
  </si>
  <si>
    <t>6 ft USB-C to USB-A Cable (M/M, Black)</t>
  </si>
  <si>
    <t>TSW-1070-B-S</t>
  </si>
  <si>
    <t>10.1 in Wall Mount Touch Screen (Black Smooth)</t>
  </si>
  <si>
    <t>Control / UI</t>
  </si>
  <si>
    <t>TSS-1070-B-S</t>
  </si>
  <si>
    <t>10.1 in Room Scheduling Touch Screen (Black Smooth)</t>
  </si>
  <si>
    <t>Control / Scheduling</t>
  </si>
  <si>
    <t>TS-1070-B-S</t>
  </si>
  <si>
    <t>10.1 in Tabletop Touch Screen (Black Smooth)</t>
  </si>
  <si>
    <t>RMC4</t>
  </si>
  <si>
    <t>4-Series Control System Processor</t>
  </si>
  <si>
    <t>Control Processor</t>
  </si>
  <si>
    <t>Netgear</t>
  </si>
  <si>
    <t>GSM4230P-100NAS</t>
  </si>
  <si>
    <t>M4250-26G4F-PoE+ Managed AV Network Switch</t>
  </si>
  <si>
    <t>Network Switch</t>
  </si>
  <si>
    <t>CG03984</t>
  </si>
  <si>
    <t>8 ft Cat6 Snagless UTP Cable (Black)</t>
  </si>
  <si>
    <t>Windy City Wire</t>
  </si>
  <si>
    <t>CAT6P-BLK</t>
  </si>
  <si>
    <t>23-4P UNS SOL CMP6 Plenum Cable (bulk)</t>
  </si>
  <si>
    <t>Cable / Bulk</t>
  </si>
  <si>
    <t>UC-SB2-CAM-A-T</t>
  </si>
  <si>
    <t>Crestron Flex All-In-One Videobar 70 for Microsoft Teams Rooms</t>
  </si>
  <si>
    <t>Video Conferencing Bar</t>
  </si>
  <si>
    <t>TS-770-B-S</t>
  </si>
  <si>
    <t>7 in Tabletop Touch Screen (Black Smooth)</t>
  </si>
  <si>
    <t>AM-3100-WF</t>
  </si>
  <si>
    <t>AirMedia Receiver 3100 (Wi-Fi)</t>
  </si>
  <si>
    <t>CBL-8K-HD-6</t>
  </si>
  <si>
    <t>Certified HDMI 2.1 Cable, 6 ft (48 Gbps)</t>
  </si>
  <si>
    <t>TOTAL LINE ITEMS / UNITS</t>
  </si>
  <si>
    <t>Crestron Equipment - MCCCD Conferencing POC</t>
  </si>
  <si>
    <t>Crestron-manufactured gear only.  Excludes Shure, Netgear, C2G, OFE, and labor.</t>
  </si>
  <si>
    <t>TOTAL CRESTRON UNITS</t>
  </si>
  <si>
    <t>Notes on this equipment list</t>
  </si>
  <si>
    <t>Source documents:</t>
  </si>
  <si>
    <t xml:space="preserve">  • American Sound Proposal 10297 (signed 5/19/2026)</t>
  </si>
  <si>
    <t xml:space="preserve">  • MCCCD Purchase Order DSTOF-100135103 (dated 5/13/2026)</t>
  </si>
  <si>
    <t>Quantities are taken directly from the proposal pricing pages and cross-checked against PO line items 3-47.</t>
  </si>
  <si>
    <t>Satellite Rooms (Typ. of 2) quantities are TOTAL across both rooms (e.g. 2 ea Videobar 70 = 1 per room).</t>
  </si>
  <si>
    <t>OFE = Owner-Furnished Equipment. MCCCD provides; American Sound installs only.</t>
  </si>
  <si>
    <t>Items intentionally NOT included in this equipment list (they are on the PO but are services/labor, not hardware):</t>
  </si>
  <si>
    <t xml:space="preserve">  • Onsite Installation - Main Room ($6,720)</t>
  </si>
  <si>
    <t xml:space="preserve">  • Onsite Installation - Satellite Rooms ($4,480)</t>
  </si>
  <si>
    <t xml:space="preserve">  • DSP Programming ($1,920)</t>
  </si>
  <si>
    <t xml:space="preserve">  • System Commissioning &amp; Testing ($1,680)</t>
  </si>
  <si>
    <t xml:space="preserve">  • Project Management ($5,441.23)</t>
  </si>
  <si>
    <t xml:space="preserve">  • Shipping &amp; Handling ($1,888.89)</t>
  </si>
  <si>
    <t xml:space="preserve">  • Misc. Materials ($227.27)</t>
  </si>
  <si>
    <t xml:space="preserve">  • Estimated Tax ($2,209.81)</t>
  </si>
  <si>
    <t>Total PO Amount: $51,961.67 (hardware + services + tax)</t>
  </si>
  <si>
    <t>Arrived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</si>
</sst>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1" fillId="6" borderId="0" xfId="0" applyFont="1" applyFill="1" applyAlignment="1">
      <alignment horizontal="left" vertical="center"/>
    </xf>
    <xf numFmtId="0" fontId="2" fillId="0" borderId="0" xfId="0" applyFont="1"/>
    <xf numFmtId="0" fontId="1" fillId="2" borderId="0" xfId="0" applyFont="1" applyFill="1" applyAlignment="1">
      <alignment horizontal="left" vertical="center"/>
    </xf>
    <xf numFmtId="0" fontId="4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zoomScaleNormal="100" workbookViewId="0">
      <pane ySplit="4" topLeftCell="A5" activePane="bottomLeft" state="frozen"/>
      <selection pane="bottomLeft" sqref="A1:F1"/>
    </sheetView>
  </sheetViews>
  <sheetFormatPr defaultColWidth="8.7109375" defaultRowHeight="15" x14ac:dyDescent="0.25"/>
  <cols>
    <col min="1" max="1" width="16" customWidth="1"/>
    <col min="2" max="2" width="24" customWidth="1"/>
    <col min="3" max="3" width="56" customWidth="1"/>
    <col min="4" max="4" width="8" customWidth="1"/>
    <col min="5" max="5" width="32" customWidth="1"/>
    <col min="6" max="6" width="24" customWidth="1"/>
  </cols>
  <sheetData>
    <row r="1" spans="1:6" ht="21.75" customHeight="1" x14ac:dyDescent="0.25">
      <c r="A1" s="17" t="s">
        <v>0</v>
      </c>
      <c r="B1" s="17"/>
      <c r="C1" s="17"/>
      <c r="D1" s="17"/>
      <c r="E1" s="17"/>
      <c r="F1" s="17"/>
    </row>
    <row r="2" spans="1:6" x14ac:dyDescent="0.25">
      <c r="A2" s="16" t="s">
        <v>1</v>
      </c>
      <c r="B2" s="16"/>
      <c r="C2" s="16"/>
      <c r="D2" s="16"/>
      <c r="E2" s="16"/>
      <c r="F2" s="16"/>
    </row>
    <row r="4" spans="1:6" ht="27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2" t="s">
        <v>8</v>
      </c>
      <c r="B5" s="2" t="s">
        <v>9</v>
      </c>
      <c r="C5" s="2" t="s">
        <v>10</v>
      </c>
      <c r="D5" s="3">
        <v>2</v>
      </c>
      <c r="E5" s="2" t="s">
        <v>11</v>
      </c>
      <c r="F5" s="2" t="s">
        <v>12</v>
      </c>
    </row>
    <row r="6" spans="1:6" x14ac:dyDescent="0.25">
      <c r="A6" s="4" t="s">
        <v>8</v>
      </c>
      <c r="B6" s="4" t="s">
        <v>13</v>
      </c>
      <c r="C6" s="4" t="s">
        <v>14</v>
      </c>
      <c r="D6" s="5">
        <v>1</v>
      </c>
      <c r="E6" s="4" t="s">
        <v>11</v>
      </c>
      <c r="F6" s="4" t="s">
        <v>12</v>
      </c>
    </row>
    <row r="7" spans="1:6" ht="25.5" x14ac:dyDescent="0.25">
      <c r="A7" s="2" t="s">
        <v>8</v>
      </c>
      <c r="B7" s="2" t="s">
        <v>15</v>
      </c>
      <c r="C7" s="2" t="s">
        <v>16</v>
      </c>
      <c r="D7" s="3">
        <v>1</v>
      </c>
      <c r="E7" s="2" t="s">
        <v>11</v>
      </c>
      <c r="F7" s="2" t="s">
        <v>17</v>
      </c>
    </row>
    <row r="8" spans="1:6" ht="25.5" x14ac:dyDescent="0.25">
      <c r="A8" s="4" t="s">
        <v>8</v>
      </c>
      <c r="B8" s="4" t="s">
        <v>18</v>
      </c>
      <c r="C8" s="4" t="s">
        <v>19</v>
      </c>
      <c r="D8" s="5">
        <v>1</v>
      </c>
      <c r="E8" s="4" t="s">
        <v>11</v>
      </c>
      <c r="F8" s="4" t="s">
        <v>17</v>
      </c>
    </row>
    <row r="9" spans="1:6" x14ac:dyDescent="0.25">
      <c r="A9" s="2" t="s">
        <v>8</v>
      </c>
      <c r="B9" s="2" t="s">
        <v>20</v>
      </c>
      <c r="C9" s="2" t="s">
        <v>21</v>
      </c>
      <c r="D9" s="3">
        <v>2</v>
      </c>
      <c r="E9" s="2" t="s">
        <v>22</v>
      </c>
      <c r="F9" s="2" t="s">
        <v>12</v>
      </c>
    </row>
    <row r="10" spans="1:6" x14ac:dyDescent="0.25">
      <c r="A10" s="6" t="s">
        <v>23</v>
      </c>
      <c r="B10" s="4" t="s">
        <v>24</v>
      </c>
      <c r="C10" s="4" t="s">
        <v>25</v>
      </c>
      <c r="D10" s="5">
        <v>3</v>
      </c>
      <c r="E10" s="4" t="s">
        <v>11</v>
      </c>
      <c r="F10" s="4" t="s">
        <v>26</v>
      </c>
    </row>
    <row r="11" spans="1:6" x14ac:dyDescent="0.25">
      <c r="A11" s="7" t="s">
        <v>23</v>
      </c>
      <c r="B11" s="2" t="s">
        <v>27</v>
      </c>
      <c r="C11" s="2" t="s">
        <v>28</v>
      </c>
      <c r="D11" s="3">
        <v>5</v>
      </c>
      <c r="E11" s="2" t="s">
        <v>11</v>
      </c>
      <c r="F11" s="2" t="s">
        <v>26</v>
      </c>
    </row>
    <row r="12" spans="1:6" x14ac:dyDescent="0.25">
      <c r="A12" s="6" t="s">
        <v>23</v>
      </c>
      <c r="B12" s="4" t="s">
        <v>29</v>
      </c>
      <c r="C12" s="4" t="s">
        <v>30</v>
      </c>
      <c r="D12" s="5">
        <v>1</v>
      </c>
      <c r="E12" s="4" t="s">
        <v>11</v>
      </c>
      <c r="F12" s="4" t="s">
        <v>31</v>
      </c>
    </row>
    <row r="13" spans="1:6" x14ac:dyDescent="0.25">
      <c r="A13" s="7" t="s">
        <v>23</v>
      </c>
      <c r="B13" s="2" t="s">
        <v>32</v>
      </c>
      <c r="C13" s="2" t="s">
        <v>33</v>
      </c>
      <c r="D13" s="3">
        <v>1</v>
      </c>
      <c r="E13" s="2" t="s">
        <v>11</v>
      </c>
      <c r="F13" s="2" t="s">
        <v>31</v>
      </c>
    </row>
    <row r="14" spans="1:6" x14ac:dyDescent="0.25">
      <c r="A14" s="6" t="s">
        <v>23</v>
      </c>
      <c r="B14" s="4" t="s">
        <v>34</v>
      </c>
      <c r="C14" s="4" t="s">
        <v>35</v>
      </c>
      <c r="D14" s="5">
        <v>1</v>
      </c>
      <c r="E14" s="4" t="s">
        <v>11</v>
      </c>
      <c r="F14" s="4" t="s">
        <v>31</v>
      </c>
    </row>
    <row r="15" spans="1:6" x14ac:dyDescent="0.25">
      <c r="A15" s="7" t="s">
        <v>23</v>
      </c>
      <c r="B15" s="2" t="s">
        <v>36</v>
      </c>
      <c r="C15" s="2" t="s">
        <v>37</v>
      </c>
      <c r="D15" s="3">
        <v>1</v>
      </c>
      <c r="E15" s="2" t="s">
        <v>11</v>
      </c>
      <c r="F15" s="2" t="s">
        <v>38</v>
      </c>
    </row>
    <row r="16" spans="1:6" x14ac:dyDescent="0.25">
      <c r="A16" s="6" t="s">
        <v>23</v>
      </c>
      <c r="B16" s="4" t="s">
        <v>39</v>
      </c>
      <c r="C16" s="4" t="s">
        <v>40</v>
      </c>
      <c r="D16" s="5">
        <v>1</v>
      </c>
      <c r="E16" s="4" t="s">
        <v>11</v>
      </c>
      <c r="F16" s="4" t="s">
        <v>38</v>
      </c>
    </row>
    <row r="17" spans="1:6" x14ac:dyDescent="0.25">
      <c r="A17" s="7" t="s">
        <v>23</v>
      </c>
      <c r="B17" s="2" t="s">
        <v>41</v>
      </c>
      <c r="C17" s="2" t="s">
        <v>42</v>
      </c>
      <c r="D17" s="3">
        <v>1</v>
      </c>
      <c r="E17" s="2" t="s">
        <v>11</v>
      </c>
      <c r="F17" s="2" t="s">
        <v>43</v>
      </c>
    </row>
    <row r="18" spans="1:6" x14ac:dyDescent="0.25">
      <c r="A18" s="6" t="s">
        <v>23</v>
      </c>
      <c r="B18" s="4" t="s">
        <v>44</v>
      </c>
      <c r="C18" s="4" t="s">
        <v>45</v>
      </c>
      <c r="D18" s="5">
        <v>1</v>
      </c>
      <c r="E18" s="4" t="s">
        <v>11</v>
      </c>
      <c r="F18" s="4" t="s">
        <v>46</v>
      </c>
    </row>
    <row r="19" spans="1:6" x14ac:dyDescent="0.25">
      <c r="A19" s="7" t="s">
        <v>23</v>
      </c>
      <c r="B19" s="2" t="s">
        <v>47</v>
      </c>
      <c r="C19" s="2" t="s">
        <v>48</v>
      </c>
      <c r="D19" s="3">
        <v>1</v>
      </c>
      <c r="E19" s="2" t="s">
        <v>11</v>
      </c>
      <c r="F19" s="2" t="s">
        <v>49</v>
      </c>
    </row>
    <row r="20" spans="1:6" ht="25.5" x14ac:dyDescent="0.25">
      <c r="A20" s="4" t="s">
        <v>50</v>
      </c>
      <c r="B20" s="4" t="s">
        <v>51</v>
      </c>
      <c r="C20" s="4" t="s">
        <v>52</v>
      </c>
      <c r="D20" s="5">
        <v>1</v>
      </c>
      <c r="E20" s="4" t="s">
        <v>11</v>
      </c>
      <c r="F20" s="4" t="s">
        <v>53</v>
      </c>
    </row>
    <row r="21" spans="1:6" ht="25.5" x14ac:dyDescent="0.25">
      <c r="A21" s="7" t="s">
        <v>23</v>
      </c>
      <c r="B21" s="2" t="s">
        <v>54</v>
      </c>
      <c r="C21" s="2" t="s">
        <v>55</v>
      </c>
      <c r="D21" s="3">
        <v>2</v>
      </c>
      <c r="E21" s="2" t="s">
        <v>11</v>
      </c>
      <c r="F21" s="2" t="s">
        <v>56</v>
      </c>
    </row>
    <row r="22" spans="1:6" x14ac:dyDescent="0.25">
      <c r="A22" s="6" t="s">
        <v>23</v>
      </c>
      <c r="B22" s="4" t="s">
        <v>57</v>
      </c>
      <c r="C22" s="4" t="s">
        <v>58</v>
      </c>
      <c r="D22" s="5">
        <v>9</v>
      </c>
      <c r="E22" s="4" t="s">
        <v>11</v>
      </c>
      <c r="F22" s="4" t="s">
        <v>56</v>
      </c>
    </row>
    <row r="23" spans="1:6" x14ac:dyDescent="0.25">
      <c r="A23" s="7" t="s">
        <v>23</v>
      </c>
      <c r="B23" s="2" t="s">
        <v>59</v>
      </c>
      <c r="C23" s="2" t="s">
        <v>60</v>
      </c>
      <c r="D23" s="3">
        <v>1</v>
      </c>
      <c r="E23" s="2" t="s">
        <v>11</v>
      </c>
      <c r="F23" s="2" t="s">
        <v>56</v>
      </c>
    </row>
    <row r="24" spans="1:6" x14ac:dyDescent="0.25">
      <c r="A24" s="4" t="s">
        <v>50</v>
      </c>
      <c r="B24" s="4" t="s">
        <v>61</v>
      </c>
      <c r="C24" s="4" t="s">
        <v>62</v>
      </c>
      <c r="D24" s="5">
        <v>1</v>
      </c>
      <c r="E24" s="4" t="s">
        <v>11</v>
      </c>
      <c r="F24" s="4" t="s">
        <v>56</v>
      </c>
    </row>
    <row r="25" spans="1:6" x14ac:dyDescent="0.25">
      <c r="A25" s="2" t="s">
        <v>50</v>
      </c>
      <c r="B25" s="2" t="s">
        <v>63</v>
      </c>
      <c r="C25" s="2" t="s">
        <v>64</v>
      </c>
      <c r="D25" s="3">
        <v>2</v>
      </c>
      <c r="E25" s="2" t="s">
        <v>11</v>
      </c>
      <c r="F25" s="2" t="s">
        <v>56</v>
      </c>
    </row>
    <row r="26" spans="1:6" x14ac:dyDescent="0.25">
      <c r="A26" s="4" t="s">
        <v>65</v>
      </c>
      <c r="B26" s="4" t="s">
        <v>66</v>
      </c>
      <c r="C26" s="4" t="s">
        <v>67</v>
      </c>
      <c r="D26" s="5">
        <v>1</v>
      </c>
      <c r="E26" s="4" t="s">
        <v>11</v>
      </c>
      <c r="F26" s="4" t="s">
        <v>68</v>
      </c>
    </row>
    <row r="27" spans="1:6" x14ac:dyDescent="0.25">
      <c r="A27" s="2" t="s">
        <v>65</v>
      </c>
      <c r="B27" s="2" t="s">
        <v>69</v>
      </c>
      <c r="C27" s="2" t="s">
        <v>70</v>
      </c>
      <c r="D27" s="3">
        <v>2</v>
      </c>
      <c r="E27" s="2" t="s">
        <v>11</v>
      </c>
      <c r="F27" s="2" t="s">
        <v>71</v>
      </c>
    </row>
    <row r="28" spans="1:6" x14ac:dyDescent="0.25">
      <c r="A28" s="4" t="s">
        <v>50</v>
      </c>
      <c r="B28" s="4" t="s">
        <v>72</v>
      </c>
      <c r="C28" s="4" t="s">
        <v>73</v>
      </c>
      <c r="D28" s="5">
        <v>4</v>
      </c>
      <c r="E28" s="4" t="s">
        <v>11</v>
      </c>
      <c r="F28" s="4" t="s">
        <v>56</v>
      </c>
    </row>
    <row r="29" spans="1:6" x14ac:dyDescent="0.25">
      <c r="A29" s="2" t="s">
        <v>50</v>
      </c>
      <c r="B29" s="2" t="s">
        <v>74</v>
      </c>
      <c r="C29" s="2" t="s">
        <v>75</v>
      </c>
      <c r="D29" s="3">
        <v>1</v>
      </c>
      <c r="E29" s="2" t="s">
        <v>11</v>
      </c>
      <c r="F29" s="2" t="s">
        <v>56</v>
      </c>
    </row>
    <row r="30" spans="1:6" x14ac:dyDescent="0.25">
      <c r="A30" s="6" t="s">
        <v>23</v>
      </c>
      <c r="B30" s="4" t="s">
        <v>76</v>
      </c>
      <c r="C30" s="4" t="s">
        <v>77</v>
      </c>
      <c r="D30" s="5">
        <v>1</v>
      </c>
      <c r="E30" s="4" t="s">
        <v>11</v>
      </c>
      <c r="F30" s="4" t="s">
        <v>78</v>
      </c>
    </row>
    <row r="31" spans="1:6" x14ac:dyDescent="0.25">
      <c r="A31" s="7" t="s">
        <v>23</v>
      </c>
      <c r="B31" s="2" t="s">
        <v>79</v>
      </c>
      <c r="C31" s="2" t="s">
        <v>80</v>
      </c>
      <c r="D31" s="3">
        <v>1</v>
      </c>
      <c r="E31" s="2" t="s">
        <v>11</v>
      </c>
      <c r="F31" s="2" t="s">
        <v>81</v>
      </c>
    </row>
    <row r="32" spans="1:6" x14ac:dyDescent="0.25">
      <c r="A32" s="6" t="s">
        <v>23</v>
      </c>
      <c r="B32" s="4" t="s">
        <v>82</v>
      </c>
      <c r="C32" s="4" t="s">
        <v>83</v>
      </c>
      <c r="D32" s="5">
        <v>1</v>
      </c>
      <c r="E32" s="4" t="s">
        <v>11</v>
      </c>
      <c r="F32" s="4" t="s">
        <v>78</v>
      </c>
    </row>
    <row r="33" spans="1:6" x14ac:dyDescent="0.25">
      <c r="A33" s="7" t="s">
        <v>23</v>
      </c>
      <c r="B33" s="2" t="s">
        <v>84</v>
      </c>
      <c r="C33" s="2" t="s">
        <v>85</v>
      </c>
      <c r="D33" s="3">
        <v>1</v>
      </c>
      <c r="E33" s="2" t="s">
        <v>11</v>
      </c>
      <c r="F33" s="2" t="s">
        <v>86</v>
      </c>
    </row>
    <row r="34" spans="1:6" x14ac:dyDescent="0.25">
      <c r="A34" s="4" t="s">
        <v>87</v>
      </c>
      <c r="B34" s="4" t="s">
        <v>88</v>
      </c>
      <c r="C34" s="4" t="s">
        <v>89</v>
      </c>
      <c r="D34" s="5">
        <v>1</v>
      </c>
      <c r="E34" s="4" t="s">
        <v>11</v>
      </c>
      <c r="F34" s="4" t="s">
        <v>90</v>
      </c>
    </row>
    <row r="35" spans="1:6" x14ac:dyDescent="0.25">
      <c r="A35" s="2" t="s">
        <v>50</v>
      </c>
      <c r="B35" s="2" t="s">
        <v>91</v>
      </c>
      <c r="C35" s="2" t="s">
        <v>92</v>
      </c>
      <c r="D35" s="3">
        <v>14</v>
      </c>
      <c r="E35" s="2" t="s">
        <v>11</v>
      </c>
      <c r="F35" s="2" t="s">
        <v>56</v>
      </c>
    </row>
    <row r="36" spans="1:6" x14ac:dyDescent="0.25">
      <c r="A36" s="4" t="s">
        <v>93</v>
      </c>
      <c r="B36" s="4" t="s">
        <v>94</v>
      </c>
      <c r="C36" s="4" t="s">
        <v>95</v>
      </c>
      <c r="D36" s="5">
        <v>1</v>
      </c>
      <c r="E36" s="4" t="s">
        <v>11</v>
      </c>
      <c r="F36" s="4" t="s">
        <v>96</v>
      </c>
    </row>
    <row r="37" spans="1:6" ht="25.5" x14ac:dyDescent="0.25">
      <c r="A37" s="7" t="s">
        <v>23</v>
      </c>
      <c r="B37" s="2" t="s">
        <v>97</v>
      </c>
      <c r="C37" s="2" t="s">
        <v>98</v>
      </c>
      <c r="D37" s="3">
        <v>2</v>
      </c>
      <c r="E37" s="2" t="s">
        <v>22</v>
      </c>
      <c r="F37" s="2" t="s">
        <v>99</v>
      </c>
    </row>
    <row r="38" spans="1:6" x14ac:dyDescent="0.25">
      <c r="A38" s="6" t="s">
        <v>23</v>
      </c>
      <c r="B38" s="4" t="s">
        <v>84</v>
      </c>
      <c r="C38" s="4" t="s">
        <v>85</v>
      </c>
      <c r="D38" s="5">
        <v>2</v>
      </c>
      <c r="E38" s="4" t="s">
        <v>22</v>
      </c>
      <c r="F38" s="4" t="s">
        <v>86</v>
      </c>
    </row>
    <row r="39" spans="1:6" x14ac:dyDescent="0.25">
      <c r="A39" s="7" t="s">
        <v>23</v>
      </c>
      <c r="B39" s="2" t="s">
        <v>100</v>
      </c>
      <c r="C39" s="2" t="s">
        <v>101</v>
      </c>
      <c r="D39" s="3">
        <v>2</v>
      </c>
      <c r="E39" s="2" t="s">
        <v>22</v>
      </c>
      <c r="F39" s="2" t="s">
        <v>78</v>
      </c>
    </row>
    <row r="40" spans="1:6" x14ac:dyDescent="0.25">
      <c r="A40" s="6" t="s">
        <v>23</v>
      </c>
      <c r="B40" s="4" t="s">
        <v>102</v>
      </c>
      <c r="C40" s="4" t="s">
        <v>103</v>
      </c>
      <c r="D40" s="5">
        <v>2</v>
      </c>
      <c r="E40" s="4" t="s">
        <v>22</v>
      </c>
      <c r="F40" s="4" t="s">
        <v>31</v>
      </c>
    </row>
    <row r="41" spans="1:6" x14ac:dyDescent="0.25">
      <c r="A41" s="7" t="s">
        <v>23</v>
      </c>
      <c r="B41" s="2" t="s">
        <v>32</v>
      </c>
      <c r="C41" s="2" t="s">
        <v>33</v>
      </c>
      <c r="D41" s="3">
        <v>2</v>
      </c>
      <c r="E41" s="2" t="s">
        <v>22</v>
      </c>
      <c r="F41" s="2" t="s">
        <v>31</v>
      </c>
    </row>
    <row r="42" spans="1:6" x14ac:dyDescent="0.25">
      <c r="A42" s="6" t="s">
        <v>23</v>
      </c>
      <c r="B42" s="4" t="s">
        <v>104</v>
      </c>
      <c r="C42" s="4" t="s">
        <v>105</v>
      </c>
      <c r="D42" s="5">
        <v>2</v>
      </c>
      <c r="E42" s="4" t="s">
        <v>22</v>
      </c>
      <c r="F42" s="4" t="s">
        <v>56</v>
      </c>
    </row>
    <row r="43" spans="1:6" x14ac:dyDescent="0.25">
      <c r="A43" s="7" t="s">
        <v>23</v>
      </c>
      <c r="B43" s="2" t="s">
        <v>57</v>
      </c>
      <c r="C43" s="2" t="s">
        <v>58</v>
      </c>
      <c r="D43" s="3">
        <v>4</v>
      </c>
      <c r="E43" s="2" t="s">
        <v>22</v>
      </c>
      <c r="F43" s="2" t="s">
        <v>56</v>
      </c>
    </row>
    <row r="44" spans="1:6" ht="25.5" x14ac:dyDescent="0.25">
      <c r="A44" s="6" t="s">
        <v>23</v>
      </c>
      <c r="B44" s="4" t="s">
        <v>54</v>
      </c>
      <c r="C44" s="4" t="s">
        <v>55</v>
      </c>
      <c r="D44" s="5">
        <v>2</v>
      </c>
      <c r="E44" s="4" t="s">
        <v>22</v>
      </c>
      <c r="F44" s="4" t="s">
        <v>56</v>
      </c>
    </row>
    <row r="45" spans="1:6" x14ac:dyDescent="0.25">
      <c r="A45" s="2" t="s">
        <v>50</v>
      </c>
      <c r="B45" s="2" t="s">
        <v>91</v>
      </c>
      <c r="C45" s="2" t="s">
        <v>92</v>
      </c>
      <c r="D45" s="3">
        <v>6</v>
      </c>
      <c r="E45" s="2" t="s">
        <v>22</v>
      </c>
      <c r="F45" s="2" t="s">
        <v>56</v>
      </c>
    </row>
    <row r="46" spans="1:6" x14ac:dyDescent="0.25">
      <c r="C46" s="8" t="s">
        <v>106</v>
      </c>
      <c r="D46" s="9">
        <f>SUM(D5:D45)</f>
        <v>91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tabSelected="1" zoomScaleNormal="100" workbookViewId="0">
      <pane ySplit="4" topLeftCell="A5" activePane="bottomLeft" state="frozen"/>
      <selection pane="bottomLeft" activeCell="G14" sqref="G14"/>
    </sheetView>
  </sheetViews>
  <sheetFormatPr defaultColWidth="8.7109375" defaultRowHeight="15" x14ac:dyDescent="0.25"/>
  <cols>
    <col min="1" max="1" width="16" customWidth="1"/>
    <col min="2" max="2" width="24" customWidth="1"/>
    <col min="3" max="3" width="23.28515625" customWidth="1"/>
    <col min="4" max="4" width="8" customWidth="1"/>
    <col min="5" max="5" width="32" customWidth="1"/>
    <col min="6" max="6" width="24" customWidth="1"/>
    <col min="7" max="7" width="21" customWidth="1"/>
  </cols>
  <sheetData>
    <row r="1" spans="1:7" ht="21.75" customHeight="1" x14ac:dyDescent="0.25">
      <c r="A1" s="15" t="s">
        <v>107</v>
      </c>
      <c r="B1" s="15"/>
      <c r="C1" s="15"/>
      <c r="D1" s="15"/>
      <c r="E1" s="15"/>
      <c r="F1" s="15"/>
    </row>
    <row r="2" spans="1:7" x14ac:dyDescent="0.25">
      <c r="A2" s="16" t="s">
        <v>108</v>
      </c>
      <c r="B2" s="16"/>
      <c r="C2" s="16"/>
      <c r="D2" s="16"/>
      <c r="E2" s="16"/>
      <c r="F2" s="16"/>
    </row>
    <row r="4" spans="1:7" ht="27.75" customHeight="1" x14ac:dyDescent="0.25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7" ht="25.5" x14ac:dyDescent="0.25">
      <c r="A5" s="2" t="s">
        <v>23</v>
      </c>
      <c r="B5" s="2" t="s">
        <v>24</v>
      </c>
      <c r="C5" s="2" t="s">
        <v>25</v>
      </c>
      <c r="D5" s="3">
        <v>3</v>
      </c>
      <c r="E5" s="2" t="s">
        <v>11</v>
      </c>
      <c r="F5" s="2" t="s">
        <v>26</v>
      </c>
      <c r="G5" s="18" t="s">
        <v>127</v>
      </c>
    </row>
    <row r="6" spans="1:7" ht="25.5" x14ac:dyDescent="0.25">
      <c r="A6" s="11" t="s">
        <v>23</v>
      </c>
      <c r="B6" s="11" t="s">
        <v>27</v>
      </c>
      <c r="C6" s="11" t="s">
        <v>28</v>
      </c>
      <c r="D6" s="12">
        <v>5</v>
      </c>
      <c r="E6" s="11" t="s">
        <v>11</v>
      </c>
      <c r="F6" s="11" t="s">
        <v>26</v>
      </c>
      <c r="G6" s="18" t="s">
        <v>127</v>
      </c>
    </row>
    <row r="7" spans="1:7" ht="25.5" x14ac:dyDescent="0.25">
      <c r="A7" s="2" t="s">
        <v>23</v>
      </c>
      <c r="B7" s="2" t="s">
        <v>29</v>
      </c>
      <c r="C7" s="2" t="s">
        <v>30</v>
      </c>
      <c r="D7" s="3">
        <v>1</v>
      </c>
      <c r="E7" s="2" t="s">
        <v>11</v>
      </c>
      <c r="F7" s="2" t="s">
        <v>31</v>
      </c>
      <c r="G7" s="18" t="s">
        <v>127</v>
      </c>
    </row>
    <row r="8" spans="1:7" ht="25.5" x14ac:dyDescent="0.25">
      <c r="A8" s="11" t="s">
        <v>23</v>
      </c>
      <c r="B8" s="11" t="s">
        <v>32</v>
      </c>
      <c r="C8" s="11" t="s">
        <v>33</v>
      </c>
      <c r="D8" s="12">
        <v>1</v>
      </c>
      <c r="E8" s="11" t="s">
        <v>11</v>
      </c>
      <c r="F8" s="11" t="s">
        <v>31</v>
      </c>
      <c r="G8" s="18" t="s">
        <v>127</v>
      </c>
    </row>
    <row r="9" spans="1:7" ht="25.5" x14ac:dyDescent="0.25">
      <c r="A9" s="2" t="s">
        <v>23</v>
      </c>
      <c r="B9" s="2" t="s">
        <v>34</v>
      </c>
      <c r="C9" s="2" t="s">
        <v>35</v>
      </c>
      <c r="D9" s="3">
        <v>1</v>
      </c>
      <c r="E9" s="2" t="s">
        <v>11</v>
      </c>
      <c r="F9" s="2" t="s">
        <v>31</v>
      </c>
      <c r="G9" s="18" t="s">
        <v>127</v>
      </c>
    </row>
    <row r="10" spans="1:7" ht="38.25" x14ac:dyDescent="0.25">
      <c r="A10" s="11" t="s">
        <v>23</v>
      </c>
      <c r="B10" s="11" t="s">
        <v>36</v>
      </c>
      <c r="C10" s="11" t="s">
        <v>37</v>
      </c>
      <c r="D10" s="12">
        <v>1</v>
      </c>
      <c r="E10" s="11" t="s">
        <v>11</v>
      </c>
      <c r="F10" s="11" t="s">
        <v>38</v>
      </c>
      <c r="G10" s="18" t="s">
        <v>127</v>
      </c>
    </row>
    <row r="11" spans="1:7" ht="38.25" x14ac:dyDescent="0.25">
      <c r="A11" s="2" t="s">
        <v>23</v>
      </c>
      <c r="B11" s="2" t="s">
        <v>39</v>
      </c>
      <c r="C11" s="2" t="s">
        <v>40</v>
      </c>
      <c r="D11" s="3">
        <v>1</v>
      </c>
      <c r="E11" s="2" t="s">
        <v>11</v>
      </c>
      <c r="F11" s="2" t="s">
        <v>38</v>
      </c>
      <c r="G11" s="18" t="s">
        <v>127</v>
      </c>
    </row>
    <row r="12" spans="1:7" ht="25.5" x14ac:dyDescent="0.25">
      <c r="A12" s="11" t="s">
        <v>23</v>
      </c>
      <c r="B12" s="11" t="s">
        <v>41</v>
      </c>
      <c r="C12" s="11" t="s">
        <v>42</v>
      </c>
      <c r="D12" s="12">
        <v>1</v>
      </c>
      <c r="E12" s="11" t="s">
        <v>11</v>
      </c>
      <c r="F12" s="11" t="s">
        <v>43</v>
      </c>
      <c r="G12" s="18" t="s">
        <v>127</v>
      </c>
    </row>
    <row r="13" spans="1:7" ht="25.5" x14ac:dyDescent="0.25">
      <c r="A13" s="2" t="s">
        <v>23</v>
      </c>
      <c r="B13" s="2" t="s">
        <v>44</v>
      </c>
      <c r="C13" s="2" t="s">
        <v>45</v>
      </c>
      <c r="D13" s="3">
        <v>1</v>
      </c>
      <c r="E13" s="2" t="s">
        <v>11</v>
      </c>
      <c r="F13" s="2" t="s">
        <v>46</v>
      </c>
      <c r="G13" s="18" t="s">
        <v>127</v>
      </c>
    </row>
    <row r="14" spans="1:7" ht="25.5" x14ac:dyDescent="0.25">
      <c r="A14" s="11" t="s">
        <v>23</v>
      </c>
      <c r="B14" s="11" t="s">
        <v>47</v>
      </c>
      <c r="C14" s="11" t="s">
        <v>48</v>
      </c>
      <c r="D14" s="12">
        <v>1</v>
      </c>
      <c r="E14" s="11" t="s">
        <v>11</v>
      </c>
      <c r="F14" s="11" t="s">
        <v>49</v>
      </c>
    </row>
    <row r="15" spans="1:7" ht="38.25" x14ac:dyDescent="0.25">
      <c r="A15" s="2" t="s">
        <v>23</v>
      </c>
      <c r="B15" s="2" t="s">
        <v>54</v>
      </c>
      <c r="C15" s="2" t="s">
        <v>55</v>
      </c>
      <c r="D15" s="3">
        <v>2</v>
      </c>
      <c r="E15" s="2" t="s">
        <v>11</v>
      </c>
      <c r="F15" s="2" t="s">
        <v>56</v>
      </c>
    </row>
    <row r="16" spans="1:7" ht="25.5" x14ac:dyDescent="0.25">
      <c r="A16" s="11" t="s">
        <v>23</v>
      </c>
      <c r="B16" s="11" t="s">
        <v>57</v>
      </c>
      <c r="C16" s="11" t="s">
        <v>58</v>
      </c>
      <c r="D16" s="12">
        <v>9</v>
      </c>
      <c r="E16" s="11" t="s">
        <v>11</v>
      </c>
      <c r="F16" s="11" t="s">
        <v>56</v>
      </c>
    </row>
    <row r="17" spans="1:7" ht="38.25" x14ac:dyDescent="0.25">
      <c r="A17" s="2" t="s">
        <v>23</v>
      </c>
      <c r="B17" s="2" t="s">
        <v>59</v>
      </c>
      <c r="C17" s="2" t="s">
        <v>60</v>
      </c>
      <c r="D17" s="3">
        <v>1</v>
      </c>
      <c r="E17" s="2" t="s">
        <v>11</v>
      </c>
      <c r="F17" s="2" t="s">
        <v>56</v>
      </c>
    </row>
    <row r="18" spans="1:7" ht="25.5" x14ac:dyDescent="0.25">
      <c r="A18" s="11" t="s">
        <v>23</v>
      </c>
      <c r="B18" s="11" t="s">
        <v>76</v>
      </c>
      <c r="C18" s="11" t="s">
        <v>77</v>
      </c>
      <c r="D18" s="12">
        <v>1</v>
      </c>
      <c r="E18" s="11" t="s">
        <v>11</v>
      </c>
      <c r="F18" s="11" t="s">
        <v>78</v>
      </c>
      <c r="G18" s="18" t="s">
        <v>127</v>
      </c>
    </row>
    <row r="19" spans="1:7" ht="38.25" x14ac:dyDescent="0.25">
      <c r="A19" s="2" t="s">
        <v>23</v>
      </c>
      <c r="B19" s="2" t="s">
        <v>79</v>
      </c>
      <c r="C19" s="2" t="s">
        <v>80</v>
      </c>
      <c r="D19" s="3">
        <v>1</v>
      </c>
      <c r="E19" s="2" t="s">
        <v>11</v>
      </c>
      <c r="F19" s="2" t="s">
        <v>81</v>
      </c>
      <c r="G19" s="18" t="s">
        <v>127</v>
      </c>
    </row>
    <row r="20" spans="1:7" ht="25.5" x14ac:dyDescent="0.25">
      <c r="A20" s="11" t="s">
        <v>23</v>
      </c>
      <c r="B20" s="11" t="s">
        <v>82</v>
      </c>
      <c r="C20" s="11" t="s">
        <v>83</v>
      </c>
      <c r="D20" s="12">
        <v>1</v>
      </c>
      <c r="E20" s="11" t="s">
        <v>11</v>
      </c>
      <c r="F20" s="11" t="s">
        <v>78</v>
      </c>
      <c r="G20" s="18" t="s">
        <v>127</v>
      </c>
    </row>
    <row r="21" spans="1:7" ht="25.5" x14ac:dyDescent="0.25">
      <c r="A21" s="2" t="s">
        <v>23</v>
      </c>
      <c r="B21" s="2" t="s">
        <v>84</v>
      </c>
      <c r="C21" s="2" t="s">
        <v>85</v>
      </c>
      <c r="D21" s="3">
        <v>1</v>
      </c>
      <c r="E21" s="2" t="s">
        <v>11</v>
      </c>
      <c r="F21" s="2" t="s">
        <v>86</v>
      </c>
      <c r="G21" s="18" t="s">
        <v>127</v>
      </c>
    </row>
    <row r="22" spans="1:7" ht="38.25" x14ac:dyDescent="0.25">
      <c r="A22" s="11" t="s">
        <v>23</v>
      </c>
      <c r="B22" s="11" t="s">
        <v>97</v>
      </c>
      <c r="C22" s="11" t="s">
        <v>98</v>
      </c>
      <c r="D22" s="12">
        <v>2</v>
      </c>
      <c r="E22" s="11" t="s">
        <v>22</v>
      </c>
      <c r="F22" s="11" t="s">
        <v>99</v>
      </c>
      <c r="G22" s="18" t="s">
        <v>127</v>
      </c>
    </row>
    <row r="23" spans="1:7" ht="25.5" x14ac:dyDescent="0.25">
      <c r="A23" s="2" t="s">
        <v>23</v>
      </c>
      <c r="B23" s="2" t="s">
        <v>84</v>
      </c>
      <c r="C23" s="2" t="s">
        <v>85</v>
      </c>
      <c r="D23" s="3">
        <v>2</v>
      </c>
      <c r="E23" s="2" t="s">
        <v>22</v>
      </c>
      <c r="F23" s="2" t="s">
        <v>86</v>
      </c>
      <c r="G23" s="18" t="s">
        <v>127</v>
      </c>
    </row>
    <row r="24" spans="1:7" ht="25.5" x14ac:dyDescent="0.25">
      <c r="A24" s="11" t="s">
        <v>23</v>
      </c>
      <c r="B24" s="11" t="s">
        <v>100</v>
      </c>
      <c r="C24" s="11" t="s">
        <v>101</v>
      </c>
      <c r="D24" s="12">
        <v>2</v>
      </c>
      <c r="E24" s="11" t="s">
        <v>22</v>
      </c>
      <c r="F24" s="11" t="s">
        <v>78</v>
      </c>
      <c r="G24" s="18" t="s">
        <v>127</v>
      </c>
    </row>
    <row r="25" spans="1:7" ht="25.5" x14ac:dyDescent="0.25">
      <c r="A25" s="2" t="s">
        <v>23</v>
      </c>
      <c r="B25" s="2" t="s">
        <v>102</v>
      </c>
      <c r="C25" s="2" t="s">
        <v>103</v>
      </c>
      <c r="D25" s="3">
        <v>2</v>
      </c>
      <c r="E25" s="2" t="s">
        <v>22</v>
      </c>
      <c r="F25" s="2" t="s">
        <v>31</v>
      </c>
      <c r="G25" s="18" t="s">
        <v>127</v>
      </c>
    </row>
    <row r="26" spans="1:7" ht="25.5" x14ac:dyDescent="0.25">
      <c r="A26" s="11" t="s">
        <v>23</v>
      </c>
      <c r="B26" s="11" t="s">
        <v>32</v>
      </c>
      <c r="C26" s="11" t="s">
        <v>33</v>
      </c>
      <c r="D26" s="12">
        <v>2</v>
      </c>
      <c r="E26" s="11" t="s">
        <v>22</v>
      </c>
      <c r="F26" s="11" t="s">
        <v>31</v>
      </c>
      <c r="G26" s="18" t="s">
        <v>127</v>
      </c>
    </row>
    <row r="27" spans="1:7" ht="25.5" x14ac:dyDescent="0.25">
      <c r="A27" s="2" t="s">
        <v>23</v>
      </c>
      <c r="B27" s="2" t="s">
        <v>104</v>
      </c>
      <c r="C27" s="2" t="s">
        <v>105</v>
      </c>
      <c r="D27" s="3">
        <v>2</v>
      </c>
      <c r="E27" s="2" t="s">
        <v>22</v>
      </c>
      <c r="F27" s="2" t="s">
        <v>56</v>
      </c>
    </row>
    <row r="28" spans="1:7" ht="25.5" x14ac:dyDescent="0.25">
      <c r="A28" s="11" t="s">
        <v>23</v>
      </c>
      <c r="B28" s="11" t="s">
        <v>57</v>
      </c>
      <c r="C28" s="11" t="s">
        <v>58</v>
      </c>
      <c r="D28" s="12">
        <v>4</v>
      </c>
      <c r="E28" s="11" t="s">
        <v>22</v>
      </c>
      <c r="F28" s="11" t="s">
        <v>56</v>
      </c>
    </row>
    <row r="29" spans="1:7" ht="38.25" x14ac:dyDescent="0.25">
      <c r="A29" s="2" t="s">
        <v>23</v>
      </c>
      <c r="B29" s="2" t="s">
        <v>54</v>
      </c>
      <c r="C29" s="2" t="s">
        <v>55</v>
      </c>
      <c r="D29" s="3">
        <v>2</v>
      </c>
      <c r="E29" s="2" t="s">
        <v>22</v>
      </c>
      <c r="F29" s="2" t="s">
        <v>56</v>
      </c>
    </row>
    <row r="30" spans="1:7" x14ac:dyDescent="0.25">
      <c r="C30" s="8" t="s">
        <v>109</v>
      </c>
      <c r="D30" s="9">
        <f>SUM(D5:D29)</f>
        <v>50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zoomScaleNormal="100" workbookViewId="0"/>
  </sheetViews>
  <sheetFormatPr defaultColWidth="8.7109375" defaultRowHeight="15" x14ac:dyDescent="0.25"/>
  <cols>
    <col min="1" max="1" width="100" customWidth="1"/>
  </cols>
  <sheetData>
    <row r="1" spans="1:1" ht="18" x14ac:dyDescent="0.25">
      <c r="A1" s="13" t="s">
        <v>110</v>
      </c>
    </row>
    <row r="2" spans="1:1" x14ac:dyDescent="0.25">
      <c r="A2" s="14"/>
    </row>
    <row r="3" spans="1:1" x14ac:dyDescent="0.25">
      <c r="A3" s="14" t="s">
        <v>111</v>
      </c>
    </row>
    <row r="4" spans="1:1" x14ac:dyDescent="0.25">
      <c r="A4" s="14" t="s">
        <v>112</v>
      </c>
    </row>
    <row r="5" spans="1:1" x14ac:dyDescent="0.25">
      <c r="A5" s="14" t="s">
        <v>113</v>
      </c>
    </row>
    <row r="6" spans="1:1" x14ac:dyDescent="0.25">
      <c r="A6" s="14"/>
    </row>
    <row r="7" spans="1:1" x14ac:dyDescent="0.25">
      <c r="A7" s="14" t="s">
        <v>114</v>
      </c>
    </row>
    <row r="8" spans="1:1" x14ac:dyDescent="0.25">
      <c r="A8" s="14"/>
    </row>
    <row r="9" spans="1:1" x14ac:dyDescent="0.25">
      <c r="A9" s="14" t="s">
        <v>115</v>
      </c>
    </row>
    <row r="10" spans="1:1" x14ac:dyDescent="0.25">
      <c r="A10" s="14"/>
    </row>
    <row r="11" spans="1:1" x14ac:dyDescent="0.25">
      <c r="A11" s="14" t="s">
        <v>116</v>
      </c>
    </row>
    <row r="12" spans="1:1" x14ac:dyDescent="0.25">
      <c r="A12" s="14"/>
    </row>
    <row r="13" spans="1:1" x14ac:dyDescent="0.25">
      <c r="A13" s="14" t="s">
        <v>117</v>
      </c>
    </row>
    <row r="14" spans="1:1" x14ac:dyDescent="0.25">
      <c r="A14" s="14" t="s">
        <v>118</v>
      </c>
    </row>
    <row r="15" spans="1:1" x14ac:dyDescent="0.25">
      <c r="A15" s="14" t="s">
        <v>119</v>
      </c>
    </row>
    <row r="16" spans="1:1" x14ac:dyDescent="0.25">
      <c r="A16" s="14" t="s">
        <v>120</v>
      </c>
    </row>
    <row r="17" spans="1:1" x14ac:dyDescent="0.25">
      <c r="A17" s="14" t="s">
        <v>121</v>
      </c>
    </row>
    <row r="18" spans="1:1" x14ac:dyDescent="0.25">
      <c r="A18" s="14" t="s">
        <v>122</v>
      </c>
    </row>
    <row r="19" spans="1:1" x14ac:dyDescent="0.25">
      <c r="A19" s="14" t="s">
        <v>123</v>
      </c>
    </row>
    <row r="20" spans="1:1" x14ac:dyDescent="0.25">
      <c r="A20" s="14" t="s">
        <v>124</v>
      </c>
    </row>
    <row r="21" spans="1:1" x14ac:dyDescent="0.25">
      <c r="A21" s="14" t="s">
        <v>125</v>
      </c>
    </row>
    <row r="22" spans="1:1" x14ac:dyDescent="0.25">
      <c r="A22" s="14"/>
    </row>
    <row r="23" spans="1:1" x14ac:dyDescent="0.25">
      <c r="A23" s="14" t="s">
        <v>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Equipment List</vt:lpstr>
      <vt:lpstr>Crestron Only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Jordan Scales</cp:lastModifiedBy>
  <cp:revision>0</cp:revision>
  <cp:lastPrinted>2026-05-26T21:58:35Z</cp:lastPrinted>
  <dcterms:created xsi:type="dcterms:W3CDTF">2026-05-26T17:31:16Z</dcterms:created>
  <dcterms:modified xsi:type="dcterms:W3CDTF">2026-05-28T18:23:14Z</dcterms:modified>
  <dc:language>en-US</dc:language>
</cp:coreProperties>
</file>